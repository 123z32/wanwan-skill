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<sst xmlns="http://schemas.openxmlformats.org/spreadsheetml/2006/main" count="112" uniqueCount="37">
  <si>
    <t>序号</t>
  </si>
  <si>
    <t>报销内容</t>
  </si>
  <si>
    <t>上车时间</t>
  </si>
  <si>
    <t>城市</t>
  </si>
  <si>
    <t>起点</t>
  </si>
  <si>
    <t>终点</t>
  </si>
  <si>
    <t>金额 (元)</t>
  </si>
  <si>
    <t>报销人</t>
  </si>
  <si>
    <t>备注</t>
  </si>
  <si>
    <t>高铁</t>
  </si>
  <si>
    <t>深圳市</t>
  </si>
  <si>
    <t>深圳北</t>
  </si>
  <si>
    <t>惠州南站</t>
  </si>
  <si>
    <t>张东健</t>
  </si>
  <si>
    <t>的士票</t>
  </si>
  <si>
    <t>惠州市</t>
  </si>
  <si>
    <t>惠州南站-北侧P6停车场-网约车上车点</t>
  </si>
  <si>
    <t>惠州市惠城区三栋数码工业园(海宝路西)</t>
  </si>
  <si>
    <t>惠州深能源丰达电力公司(1号门)</t>
  </si>
  <si>
    <t>中山大学深圳校区(东南门)</t>
  </si>
  <si>
    <t>深圳北站西广场-地面即停即走进站</t>
  </si>
  <si>
    <t>惠州深能源丰达电力公司(1号门)对面</t>
  </si>
  <si>
    <t>三栋镇数码园</t>
  </si>
  <si>
    <t>惠州市惠城区三栋数码工业园</t>
  </si>
  <si>
    <t>稻湘村(数码园店)</t>
  </si>
  <si>
    <t>T3出行</t>
  </si>
  <si>
    <t>2026-03-10 11:41至2026-03-12 16:25</t>
  </si>
  <si>
    <t>风韵出行</t>
  </si>
  <si>
    <t>2026-03-10 08:23至2026-03-12 17:14</t>
  </si>
  <si>
    <t>如祺出行</t>
  </si>
  <si>
    <t>2026-03-18 18:25至2026-03-18 19:24</t>
  </si>
  <si>
    <t>首汽约车</t>
  </si>
  <si>
    <t>2026-03-13 09:06至2026-03-13 12:22</t>
  </si>
  <si>
    <t>喜行约车</t>
  </si>
  <si>
    <t>2026-03-10 12:02至2026-03-13 18:50</t>
  </si>
  <si>
    <t>打车</t>
  </si>
  <si>
    <t>总金额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</si>
</sst>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2" fontId="0" fillId="0" borderId="0" xfId="0" applyNumberFormat="1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85" zoomScaleNormal="85" workbookViewId="0">
      <selection activeCell="K30" sqref="K30"/>
    </sheetView>
  </sheetViews>
  <sheetFormatPr defaultColWidth="8.72727272727273" defaultRowHeight="14"/>
  <cols>
    <col min="1" max="1" width="4.81818181818182" customWidth="1"/>
    <col min="2" max="2" width="9.54545454545454" customWidth="1"/>
    <col min="3" max="3" width="17.3636363636364" customWidth="1"/>
    <col min="4" max="4" width="6.90909090909091" customWidth="1"/>
    <col min="5" max="5" width="32.6363636363636" customWidth="1"/>
    <col min="6" max="6" width="31.6363636363636" customWidth="1"/>
    <col min="7" max="7" width="17.7272727272727" customWidth="1"/>
    <col min="8" max="8" width="7.5454545454545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>
        <v>1</v>
      </c>
      <c r="B2" s="4" t="s">
        <v>9</v>
      </c>
      <c r="C2" s="5">
        <v>46090.8256944444</v>
      </c>
      <c r="D2" s="4" t="s">
        <v>10</v>
      </c>
      <c r="E2" s="6" t="s">
        <v>11</v>
      </c>
      <c r="F2" s="4" t="s">
        <v>12</v>
      </c>
      <c r="G2" s="3">
        <v>61</v>
      </c>
      <c r="H2" s="7" t="s">
        <v>13</v>
      </c>
    </row>
    <row r="3" ht="28" spans="1:9">
      <c r="A3" s="3">
        <v>2</v>
      </c>
      <c r="B3" s="4" t="s">
        <v>14</v>
      </c>
      <c r="C3" s="5">
        <v>46090.8604166667</v>
      </c>
      <c r="D3" s="4" t="s">
        <v>15</v>
      </c>
      <c r="E3" s="4" t="s">
        <v>16</v>
      </c>
      <c r="F3" s="4" t="s">
        <v>17</v>
      </c>
      <c r="G3" s="3">
        <v>10.13</v>
      </c>
      <c r="H3" s="7" t="s">
        <v>13</v>
      </c>
    </row>
    <row r="4" ht="28" spans="1:9">
      <c r="A4" s="3">
        <v>3</v>
      </c>
      <c r="B4" s="4" t="s">
        <v>14</v>
      </c>
      <c r="C4" s="5">
        <v>46091.3493055556</v>
      </c>
      <c r="D4" s="4" t="s">
        <v>15</v>
      </c>
      <c r="E4" s="4" t="s">
        <v>17</v>
      </c>
      <c r="F4" s="4" t="s">
        <v>18</v>
      </c>
      <c r="G4" s="3">
        <v>3.49</v>
      </c>
      <c r="H4" s="7" t="s">
        <v>13</v>
      </c>
    </row>
    <row r="5" ht="28" spans="1:9">
      <c r="A5" s="3">
        <v>4</v>
      </c>
      <c r="B5" s="4" t="s">
        <v>14</v>
      </c>
      <c r="C5" s="5">
        <v>46091.4868055556</v>
      </c>
      <c r="D5" s="4" t="s">
        <v>15</v>
      </c>
      <c r="E5" s="4" t="s">
        <v>18</v>
      </c>
      <c r="F5" s="4" t="s">
        <v>17</v>
      </c>
      <c r="G5" s="3">
        <v>9.34</v>
      </c>
      <c r="H5" s="7" t="s">
        <v>13</v>
      </c>
    </row>
    <row r="6" ht="28" spans="1:9">
      <c r="A6" s="3">
        <v>5</v>
      </c>
      <c r="B6" s="4" t="s">
        <v>14</v>
      </c>
      <c r="C6" s="5">
        <v>46091.5013888889</v>
      </c>
      <c r="D6" s="4" t="s">
        <v>15</v>
      </c>
      <c r="E6" s="4" t="s">
        <v>17</v>
      </c>
      <c r="F6" s="4" t="s">
        <v>12</v>
      </c>
      <c r="G6" s="3">
        <v>4.38</v>
      </c>
      <c r="H6" s="7" t="s">
        <v>13</v>
      </c>
    </row>
    <row r="7" spans="1:9">
      <c r="A7" s="3">
        <v>6</v>
      </c>
      <c r="B7" s="4" t="s">
        <v>9</v>
      </c>
      <c r="C7" s="5">
        <v>46091.5520833333</v>
      </c>
      <c r="D7" s="4" t="s">
        <v>15</v>
      </c>
      <c r="E7" s="4" t="s">
        <v>12</v>
      </c>
      <c r="F7" s="4" t="s">
        <v>11</v>
      </c>
      <c r="G7" s="3">
        <v>61</v>
      </c>
      <c r="H7" s="7" t="s">
        <v>13</v>
      </c>
    </row>
    <row r="8" spans="1:9">
      <c r="A8" s="3">
        <v>7</v>
      </c>
      <c r="B8" s="4" t="s">
        <v>14</v>
      </c>
      <c r="C8" s="5">
        <v>46093.5319444444</v>
      </c>
      <c r="D8" s="4" t="s">
        <v>10</v>
      </c>
      <c r="E8" s="4" t="s">
        <v>19</v>
      </c>
      <c r="F8" s="4" t="s">
        <v>20</v>
      </c>
      <c r="G8" s="3">
        <v>35.49</v>
      </c>
      <c r="H8" s="7" t="s">
        <v>13</v>
      </c>
    </row>
    <row r="9" spans="1:9">
      <c r="A9" s="3">
        <v>8</v>
      </c>
      <c r="B9" s="4" t="s">
        <v>9</v>
      </c>
      <c r="C9" s="5">
        <v>46093.6090277778</v>
      </c>
      <c r="D9" s="4" t="s">
        <v>10</v>
      </c>
      <c r="E9" s="4" t="s">
        <v>11</v>
      </c>
      <c r="F9" s="4" t="s">
        <v>12</v>
      </c>
      <c r="G9" s="3">
        <v>61</v>
      </c>
      <c r="H9" s="7" t="s">
        <v>13</v>
      </c>
    </row>
    <row r="10" ht="28" spans="1:9">
      <c r="A10" s="3">
        <v>9</v>
      </c>
      <c r="B10" s="4" t="s">
        <v>14</v>
      </c>
      <c r="C10" s="5">
        <v>46093.6430555556</v>
      </c>
      <c r="D10" s="4" t="s">
        <v>15</v>
      </c>
      <c r="E10" s="4" t="s">
        <v>16</v>
      </c>
      <c r="F10" s="4" t="s">
        <v>17</v>
      </c>
      <c r="G10" s="3">
        <v>6.6</v>
      </c>
      <c r="H10" s="7" t="s">
        <v>13</v>
      </c>
    </row>
    <row r="11" ht="28" spans="1:9">
      <c r="A11" s="3">
        <v>10</v>
      </c>
      <c r="B11" s="4" t="s">
        <v>14</v>
      </c>
      <c r="C11" s="5">
        <v>46093.6756944444</v>
      </c>
      <c r="D11" s="4" t="s">
        <v>15</v>
      </c>
      <c r="E11" s="4" t="s">
        <v>21</v>
      </c>
      <c r="F11" s="4" t="s">
        <v>17</v>
      </c>
      <c r="G11" s="3">
        <v>3.49</v>
      </c>
      <c r="H11" s="7" t="s">
        <v>13</v>
      </c>
    </row>
    <row r="12" ht="28" spans="1:9">
      <c r="A12" s="3">
        <v>11</v>
      </c>
      <c r="B12" s="4" t="s">
        <v>14</v>
      </c>
      <c r="C12" s="5">
        <v>46093.6805555556</v>
      </c>
      <c r="D12" s="4" t="s">
        <v>15</v>
      </c>
      <c r="E12" s="4" t="s">
        <v>17</v>
      </c>
      <c r="F12" s="4" t="s">
        <v>18</v>
      </c>
      <c r="G12" s="3">
        <v>3.49</v>
      </c>
      <c r="H12" s="7" t="s">
        <v>13</v>
      </c>
    </row>
    <row r="13" spans="1:9">
      <c r="A13" s="3">
        <v>12</v>
      </c>
      <c r="B13" s="4" t="s">
        <v>14</v>
      </c>
      <c r="C13" s="5">
        <v>46093.7125</v>
      </c>
      <c r="D13" s="4" t="s">
        <v>15</v>
      </c>
      <c r="E13" s="4" t="s">
        <v>18</v>
      </c>
      <c r="F13" s="4" t="s">
        <v>22</v>
      </c>
      <c r="G13" s="3">
        <v>3.49</v>
      </c>
      <c r="H13" s="7" t="s">
        <v>13</v>
      </c>
    </row>
    <row r="14" ht="28" spans="1:9">
      <c r="A14" s="3">
        <v>13</v>
      </c>
      <c r="B14" s="4" t="s">
        <v>14</v>
      </c>
      <c r="C14" s="5">
        <v>46094.3791666667</v>
      </c>
      <c r="D14" s="4" t="s">
        <v>15</v>
      </c>
      <c r="E14" s="4" t="s">
        <v>17</v>
      </c>
      <c r="F14" s="4" t="s">
        <v>18</v>
      </c>
      <c r="G14" s="3">
        <v>3.82</v>
      </c>
      <c r="H14" s="7" t="s">
        <v>13</v>
      </c>
    </row>
    <row r="15" spans="1:9">
      <c r="A15" s="3">
        <v>14</v>
      </c>
      <c r="B15" s="4" t="s">
        <v>14</v>
      </c>
      <c r="C15" s="5">
        <v>46094.5111111111</v>
      </c>
      <c r="D15" s="4" t="s">
        <v>15</v>
      </c>
      <c r="E15" s="4" t="s">
        <v>18</v>
      </c>
      <c r="F15" s="4" t="s">
        <v>22</v>
      </c>
      <c r="G15" s="3">
        <v>2.96</v>
      </c>
      <c r="H15" s="7" t="s">
        <v>13</v>
      </c>
    </row>
    <row r="16" ht="28" spans="1:9">
      <c r="A16" s="3">
        <v>15</v>
      </c>
      <c r="B16" s="4" t="s">
        <v>14</v>
      </c>
      <c r="C16" s="5">
        <v>46094.5902777778</v>
      </c>
      <c r="D16" s="4" t="s">
        <v>15</v>
      </c>
      <c r="E16" s="4" t="s">
        <v>17</v>
      </c>
      <c r="F16" s="4" t="s">
        <v>18</v>
      </c>
      <c r="G16" s="3">
        <v>8.49</v>
      </c>
      <c r="H16" s="7" t="s">
        <v>13</v>
      </c>
    </row>
    <row r="17" spans="1:9">
      <c r="A17" s="3">
        <v>16</v>
      </c>
      <c r="B17" s="4" t="s">
        <v>14</v>
      </c>
      <c r="C17" s="5">
        <v>46094.7805555556</v>
      </c>
      <c r="D17" s="4" t="s">
        <v>15</v>
      </c>
      <c r="E17" s="4" t="s">
        <v>18</v>
      </c>
      <c r="F17" s="4" t="s">
        <v>23</v>
      </c>
      <c r="G17" s="3">
        <v>4.1</v>
      </c>
      <c r="H17" s="7" t="s">
        <v>13</v>
      </c>
    </row>
    <row r="18" ht="28" spans="1:9">
      <c r="A18" s="3">
        <v>17</v>
      </c>
      <c r="B18" s="4" t="s">
        <v>14</v>
      </c>
      <c r="C18" s="5">
        <v>46099.7673611111</v>
      </c>
      <c r="D18" s="4" t="s">
        <v>15</v>
      </c>
      <c r="E18" s="4" t="s">
        <v>17</v>
      </c>
      <c r="F18" s="4" t="s">
        <v>24</v>
      </c>
      <c r="G18" s="3">
        <v>5.66</v>
      </c>
      <c r="H18" s="7" t="s">
        <v>13</v>
      </c>
    </row>
    <row r="19" ht="28" spans="1:9">
      <c r="A19" s="3">
        <v>18</v>
      </c>
      <c r="B19" s="4" t="s">
        <v>14</v>
      </c>
      <c r="C19" s="5">
        <v>46099.8027777778</v>
      </c>
      <c r="D19" s="4" t="s">
        <v>15</v>
      </c>
      <c r="E19" s="4" t="s">
        <v>24</v>
      </c>
      <c r="F19" s="4" t="s">
        <v>17</v>
      </c>
      <c r="G19" s="3">
        <v>5.66</v>
      </c>
      <c r="H19" s="7" t="s">
        <v>13</v>
      </c>
    </row>
    <row r="21" spans="1:9">
      <c r="B21" s="2" t="s">
        <v>25</v>
      </c>
      <c r="C21" s="2" t="s">
        <v>26</v>
      </c>
      <c r="D21" s="2"/>
      <c r="E21" s="2"/>
      <c r="F21" s="2"/>
      <c r="G21" s="2">
        <v>48.32</v>
      </c>
      <c r="H21" s="2"/>
      <c r="I21" s="2">
        <f>SUM(G5,G8,G12)</f>
        <v>48.32</v>
      </c>
    </row>
    <row r="22" spans="1:9">
      <c r="B22" s="2" t="s">
        <v>27</v>
      </c>
      <c r="C22" s="8" t="s">
        <v>28</v>
      </c>
      <c r="D22" s="2"/>
      <c r="E22" s="2"/>
      <c r="F22" s="2"/>
      <c r="G22" s="2">
        <v>10.47</v>
      </c>
      <c r="H22" s="2"/>
      <c r="I22" s="2">
        <f>SUM(G13,G11,G4)</f>
        <v>10.47</v>
      </c>
    </row>
    <row r="23" spans="1:9">
      <c r="B23" s="2" t="s">
        <v>29</v>
      </c>
      <c r="C23" s="2" t="s">
        <v>30</v>
      </c>
      <c r="D23" s="2"/>
      <c r="E23" s="2"/>
      <c r="F23" s="2"/>
      <c r="G23" s="2">
        <v>11.32</v>
      </c>
      <c r="H23" s="2"/>
      <c r="I23" s="2">
        <f>SUM(G19,G18)</f>
        <v>11.32</v>
      </c>
    </row>
    <row r="24" spans="1:9">
      <c r="B24" s="2" t="s">
        <v>31</v>
      </c>
      <c r="C24" s="2" t="s">
        <v>32</v>
      </c>
      <c r="D24" s="2"/>
      <c r="E24" s="2"/>
      <c r="F24" s="2"/>
      <c r="G24" s="2">
        <v>6.78</v>
      </c>
      <c r="H24" s="2"/>
      <c r="I24" s="2">
        <f>SUM(G14,G15)</f>
        <v>6.78</v>
      </c>
    </row>
    <row r="25" spans="1:9">
      <c r="B25" s="2" t="s">
        <v>33</v>
      </c>
      <c r="C25" s="2" t="s">
        <v>34</v>
      </c>
      <c r="D25" s="2"/>
      <c r="E25" s="2"/>
      <c r="F25" s="2"/>
      <c r="G25" s="2">
        <v>16.97</v>
      </c>
      <c r="H25" s="2"/>
      <c r="I25" s="2">
        <f>SUM(G6,G16,G17)</f>
        <v>16.97</v>
      </c>
    </row>
    <row r="27" spans="1:9">
      <c r="B27" t="s">
        <v>35</v>
      </c>
      <c r="G27">
        <f>SUM(G3:G6,G8,G10:G19)</f>
        <v>110.59</v>
      </c>
    </row>
    <row r="28" spans="1:9">
      <c r="B28" t="s">
        <v>9</v>
      </c>
      <c r="G28">
        <f>SUM(G2,G7,G9)</f>
        <v>183</v>
      </c>
    </row>
    <row r="29" spans="1:9">
      <c r="B29" t="s">
        <v>36</v>
      </c>
      <c r="G29">
        <f>SUM(G2:G19)</f>
        <v>293.59</v>
      </c>
    </row>
  </sheetData>
  <mergeCells count="5">
    <mergeCell ref="C21:E21"/>
    <mergeCell ref="C22:E22"/>
    <mergeCell ref="C23:E23"/>
    <mergeCell ref="C24:E24"/>
    <mergeCell ref="C25:E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朽歌陨梦</cp:lastModifiedBy>
  <dcterms:created xsi:type="dcterms:W3CDTF">2026-03-20T03:24:51Z</dcterms:created>
  <dcterms:modified xsi:type="dcterms:W3CDTF">2026-03-20T07:18:02Z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F93340C9A47B430CAB7FE7BB0401CB55_13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